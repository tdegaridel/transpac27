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0916_TransPac_leg1" sheetId="1" state="visible" r:id="rId3"/>
    <sheet name="20260916_leg2" sheetId="2" state="visible" r:id="rId4"/>
    <sheet name="Légen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<sst xmlns="http://schemas.openxmlformats.org/spreadsheetml/2006/main" count="255" uniqueCount="174">
  <si>
    <t xml:space="preserve">Ordre</t>
  </si>
  <si>
    <t xml:space="preserve">Zone</t>
  </si>
  <si>
    <t xml:space="preserve">Site_ID</t>
  </si>
  <si>
    <t xml:space="preserve">Site ID / carotte</t>
  </si>
  <si>
    <t xml:space="preserve">Site family</t>
  </si>
  <si>
    <t xml:space="preserve">Longitude</t>
  </si>
  <si>
    <t xml:space="preserve">Latitude</t>
  </si>
  <si>
    <t xml:space="preserve">EEZ</t>
  </si>
  <si>
    <t xml:space="preserve">Depth (m)</t>
  </si>
  <si>
    <t xml:space="preserve">Priorité</t>
  </si>
  <si>
    <t xml:space="preserve">CS Site survey (h)</t>
  </si>
  <si>
    <t xml:space="preserve">C1 CTD/Rosette phyto (h)</t>
  </si>
  <si>
    <t xml:space="preserve">C2 CTD/Rosette hydro (h)</t>
  </si>
  <si>
    <t xml:space="preserve">MN MultiNet (h)</t>
  </si>
  <si>
    <t xml:space="preserve">NP Filet phyto/ADN (h)</t>
  </si>
  <si>
    <t xml:space="preserve">NM Filet mesozoo (h)</t>
  </si>
  <si>
    <t xml:space="preserve">CA Calypso (h)</t>
  </si>
  <si>
    <t xml:space="preserve">MT MultiTube (h)</t>
  </si>
  <si>
    <t xml:space="preserve">Ops total (h)</t>
  </si>
  <si>
    <t xml:space="preserve">Commentaire</t>
  </si>
  <si>
    <t xml:space="preserve">Nouméa</t>
  </si>
  <si>
    <t xml:space="preserve">Nou</t>
  </si>
  <si>
    <t xml:space="preserve">Port call</t>
  </si>
  <si>
    <t xml:space="preserve">France – Nouvelle-Calédonie</t>
  </si>
  <si>
    <t xml:space="preserve">N/R</t>
  </si>
  <si>
    <t xml:space="preserve">Départ</t>
  </si>
  <si>
    <t xml:space="preserve">Bassin des Loyautés</t>
  </si>
  <si>
    <t xml:space="preserve">Loy1</t>
  </si>
  <si>
    <t xml:space="preserve">Loy1 (test)</t>
  </si>
  <si>
    <t xml:space="preserve">Test / carotte</t>
  </si>
  <si>
    <t xml:space="preserve">Test</t>
  </si>
  <si>
    <t xml:space="preserve">STATION AJOUTÉE. Test carottier Calypso. Quasi sur la route Nouméa→OJP_1. Coords 20°44'26.51"S 165°50'53.72"E. Temps carottage recalculé par profondeur (2100 m).</t>
  </si>
  <si>
    <t xml:space="preserve">Ontong-Java Plateau</t>
  </si>
  <si>
    <t xml:space="preserve">OJP_1</t>
  </si>
  <si>
    <t xml:space="preserve">Explo1</t>
  </si>
  <si>
    <t xml:space="preserve">latitudinal + test</t>
  </si>
  <si>
    <t xml:space="preserve">Haute mer (None)</t>
  </si>
  <si>
    <t xml:space="preserve">Test station</t>
  </si>
  <si>
    <t xml:space="preserve">OJP_2</t>
  </si>
  <si>
    <t xml:space="preserve">92BX</t>
  </si>
  <si>
    <t xml:space="preserve">latitudinal transect</t>
  </si>
  <si>
    <t xml:space="preserve">Papouasie-Nouvelle-Guinée</t>
  </si>
  <si>
    <t xml:space="preserve">Shallowest OJP site</t>
  </si>
  <si>
    <t xml:space="preserve">OJP_3</t>
  </si>
  <si>
    <t xml:space="preserve">83BX</t>
  </si>
  <si>
    <t xml:space="preserve">États fédérés de Micronésie</t>
  </si>
  <si>
    <t xml:space="preserve">OJP_4</t>
  </si>
  <si>
    <t xml:space="preserve">ODP 807</t>
  </si>
  <si>
    <t xml:space="preserve">ODP ref</t>
  </si>
  <si>
    <t xml:space="preserve">OJP_5</t>
  </si>
  <si>
    <t xml:space="preserve">120BX</t>
  </si>
  <si>
    <t xml:space="preserve">latitudinal+depth</t>
  </si>
  <si>
    <t xml:space="preserve">OJP_6</t>
  </si>
  <si>
    <t xml:space="preserve">ODP 806</t>
  </si>
  <si>
    <t xml:space="preserve">ODP Leg 130 ref</t>
  </si>
  <si>
    <t xml:space="preserve">OJP_7</t>
  </si>
  <si>
    <t xml:space="preserve">123BX</t>
  </si>
  <si>
    <t xml:space="preserve">depth transect</t>
  </si>
  <si>
    <t xml:space="preserve">OJP_9</t>
  </si>
  <si>
    <t xml:space="preserve">128BX</t>
  </si>
  <si>
    <t xml:space="preserve">Deepest site. Réordonné avant OJP_8.</t>
  </si>
  <si>
    <t xml:space="preserve">OJP_8</t>
  </si>
  <si>
    <t xml:space="preserve">125BX</t>
  </si>
  <si>
    <t xml:space="preserve">Nauru-Tuvalu</t>
  </si>
  <si>
    <t xml:space="preserve">NT_1</t>
  </si>
  <si>
    <t xml:space="preserve">VM19-96</t>
  </si>
  <si>
    <t xml:space="preserve">Kiribati – îles Gilbert</t>
  </si>
  <si>
    <t xml:space="preserve">NT_2</t>
  </si>
  <si>
    <t xml:space="preserve">VM28-225</t>
  </si>
  <si>
    <t xml:space="preserve">Tuvalu</t>
  </si>
  <si>
    <t xml:space="preserve">NT_3</t>
  </si>
  <si>
    <t xml:space="preserve">NT_3 (joker)</t>
  </si>
  <si>
    <t xml:space="preserve">Conditionnel</t>
  </si>
  <si>
    <t xml:space="preserve">Tuvalu (limite Est) – à confirmer</t>
  </si>
  <si>
    <t xml:space="preserve">Joker→Actif</t>
  </si>
  <si>
    <t xml:space="preserve">STATION JOKER ACTIVÉE (profil complet = NT_2). Prof. 5000 m (hypothèse, à confirmer). Sur route NT_2→Apia, limite Est ZEE Tuvalu (à confirmer VLIZ).</t>
  </si>
  <si>
    <t xml:space="preserve">Apia</t>
  </si>
  <si>
    <t xml:space="preserve">Samoa</t>
  </si>
  <si>
    <t xml:space="preserve">ESCALE IMPOSÉE</t>
  </si>
  <si>
    <t xml:space="preserve">TOTAL ops (h)</t>
  </si>
  <si>
    <t xml:space="preserve">Synthèse temps</t>
  </si>
  <si>
    <t xml:space="preserve">Transit estimé (h)</t>
  </si>
  <si>
    <t xml:space="preserve">Grand-cercle @10 nds (approx)</t>
  </si>
  <si>
    <t xml:space="preserve">Opérations (h)</t>
  </si>
  <si>
    <t xml:space="preserve">TOTAL (jours)</t>
  </si>
  <si>
    <t xml:space="preserve">Limite (jours)</t>
  </si>
  <si>
    <t xml:space="preserve">Marge (jours)</t>
  </si>
  <si>
    <t xml:space="preserve">Départ (escale)</t>
  </si>
  <si>
    <t xml:space="preserve">East Samoa</t>
  </si>
  <si>
    <t xml:space="preserve">ESAM</t>
  </si>
  <si>
    <t xml:space="preserve">ESAM (ex-WTOK)</t>
  </si>
  <si>
    <t xml:space="preserve">Water column</t>
  </si>
  <si>
    <t xml:space="preserve">Haute mer (ABNJ) – à confirmer</t>
  </si>
  <si>
    <t xml:space="preserve">RENOMMÉE (ex-WTOK) + RECALÉE à l'Est sur route Apia→MH_3. ZEE probable: haute mer, à confirmer sur tracé VLIZ (proximité frontières Samoa/Tokelau-NZ). Coords à ajuster.</t>
  </si>
  <si>
    <t xml:space="preserve">ManiHiki</t>
  </si>
  <si>
    <t xml:space="preserve">MH_3</t>
  </si>
  <si>
    <t xml:space="preserve">ManiHiki 1</t>
  </si>
  <si>
    <t xml:space="preserve">Îles Cook</t>
  </si>
  <si>
    <t xml:space="preserve">Réordonné (sud d'abord)</t>
  </si>
  <si>
    <t xml:space="preserve">MH_4</t>
  </si>
  <si>
    <t xml:space="preserve">ManiHiki High Plateau</t>
  </si>
  <si>
    <t xml:space="preserve">Proposed IODP site</t>
  </si>
  <si>
    <t xml:space="preserve">MH_1</t>
  </si>
  <si>
    <t xml:space="preserve">ManiHiki Western Plateaus</t>
  </si>
  <si>
    <t xml:space="preserve">Kiribati – îles Line</t>
  </si>
  <si>
    <t xml:space="preserve">MH_2</t>
  </si>
  <si>
    <t xml:space="preserve">ManiHiki North Plateau</t>
  </si>
  <si>
    <t xml:space="preserve">Line Islands</t>
  </si>
  <si>
    <t xml:space="preserve">LI_2</t>
  </si>
  <si>
    <t xml:space="preserve">Line islands north</t>
  </si>
  <si>
    <t xml:space="preserve">États-Unis – Palmyra/Kingman</t>
  </si>
  <si>
    <t xml:space="preserve">Réordonné (nord avant sud)</t>
  </si>
  <si>
    <t xml:space="preserve">LI_1</t>
  </si>
  <si>
    <t xml:space="preserve">Line islands south</t>
  </si>
  <si>
    <t xml:space="preserve">Challenger site</t>
  </si>
  <si>
    <t xml:space="preserve">CHAL</t>
  </si>
  <si>
    <t xml:space="preserve">Challenger</t>
  </si>
  <si>
    <t xml:space="preserve">France – Polynésie française</t>
  </si>
  <si>
    <t xml:space="preserve">Vostok</t>
  </si>
  <si>
    <t xml:space="preserve">VOST</t>
  </si>
  <si>
    <t xml:space="preserve">Raiatea</t>
  </si>
  <si>
    <t xml:space="preserve">Faaroa</t>
  </si>
  <si>
    <t xml:space="preserve">Baie de Fa'aroa (Raiatea)</t>
  </si>
  <si>
    <t xml:space="preserve">Côtier / carotte</t>
  </si>
  <si>
    <t xml:space="preserve">France – Polynésie française (eaux int.)</t>
  </si>
  <si>
    <t xml:space="preserve">STATION AJOUTÉE. Carotte seule. Coords approx (baie) — à préciser. Vérifier autorisation locale + adéquation Calypso en baie peu profonde.</t>
  </si>
  <si>
    <t xml:space="preserve">Papeete</t>
  </si>
  <si>
    <t xml:space="preserve">Pap</t>
  </si>
  <si>
    <t xml:space="preserve">Arrivée</t>
  </si>
  <si>
    <t xml:space="preserve">Légende &amp; hypothèses</t>
  </si>
  <si>
    <t xml:space="preserve">Codes instruments (valeurs en heures)</t>
  </si>
  <si>
    <t xml:space="preserve">CS</t>
  </si>
  <si>
    <t xml:space="preserve">Site survey</t>
  </si>
  <si>
    <t xml:space="preserve">C1</t>
  </si>
  <si>
    <t xml:space="preserve">Rosette/CTD - 1 (phytoplancton)</t>
  </si>
  <si>
    <t xml:space="preserve">C2</t>
  </si>
  <si>
    <t xml:space="preserve">Rosette/CTD - 2 (hydrologie)</t>
  </si>
  <si>
    <t xml:space="preserve">MN</t>
  </si>
  <si>
    <t xml:space="preserve">MultiNet zooplancton</t>
  </si>
  <si>
    <t xml:space="preserve">NP</t>
  </si>
  <si>
    <t xml:space="preserve">Filet plancton phyto / ADN</t>
  </si>
  <si>
    <t xml:space="preserve">NM</t>
  </si>
  <si>
    <t xml:space="preserve">Filet plancton mésozooplancton</t>
  </si>
  <si>
    <t xml:space="preserve">CA</t>
  </si>
  <si>
    <t xml:space="preserve">Carottier Calypso</t>
  </si>
  <si>
    <t xml:space="preserve">MT</t>
  </si>
  <si>
    <t xml:space="preserve">MultiTube</t>
  </si>
  <si>
    <t xml:space="preserve">Couleurs de lignes</t>
  </si>
  <si>
    <t xml:space="preserve">Orange clair</t>
  </si>
  <si>
    <t xml:space="preserve">Station ajoutée (Loy1, Fa'aroa)</t>
  </si>
  <si>
    <t xml:space="preserve">Jaune</t>
  </si>
  <si>
    <t xml:space="preserve">Station joker conditionnelle (NT_3)</t>
  </si>
  <si>
    <t xml:space="preserve">Vert clair</t>
  </si>
  <si>
    <t xml:space="preserve">Port / escale</t>
  </si>
  <si>
    <t xml:space="preserve">Hypothèses de calcul</t>
  </si>
  <si>
    <t xml:space="preserve">Vitesse transit</t>
  </si>
  <si>
    <t xml:space="preserve">10 nœuds (240 nm / 24 h, déduit de la feuille originale)</t>
  </si>
  <si>
    <t xml:space="preserve">Distances</t>
  </si>
  <si>
    <t xml:space="preserve">Grand-cercle (haversine) — approximation, le routage réel diffère de quelques heures</t>
  </si>
  <si>
    <t xml:space="preserve">Ordre stations</t>
  </si>
  <si>
    <t xml:space="preserve">Optimisé pour minimiser le transit (brute force, ports fixes)</t>
  </si>
  <si>
    <t xml:space="preserve">Points à valider (IMPORTANT)</t>
  </si>
  <si>
    <t xml:space="preserve">1</t>
  </si>
  <si>
    <t xml:space="preserve">Ordre optimisé casse la logique de certains transects (ManiHiki 3→4→1→2, Line 2→1) — valider avec les PI</t>
  </si>
  <si>
    <t xml:space="preserve">2</t>
  </si>
  <si>
    <t xml:space="preserve">Leg 1 très tendu (~3 h de marge) avec Loy1 à 12 h d'ops</t>
  </si>
  <si>
    <t xml:space="preserve">3</t>
  </si>
  <si>
    <t xml:space="preserve">ESAM : ZEE à confirmer (probable haute mer, zone frontière Samoa/Tokelau)</t>
  </si>
  <si>
    <t xml:space="preserve">4</t>
  </si>
  <si>
    <t xml:space="preserve">NT_3 joker : limite Est ZEE Tuvalu approximative ; activation nécessite de rogner ailleurs</t>
  </si>
  <si>
    <t xml:space="preserve">5</t>
  </si>
  <si>
    <t xml:space="preserve">Fa'aroa : coords de baie approximatives, autorisation locale + adéquation Calypso à vérifier</t>
  </si>
  <si>
    <t xml:space="preserve">6</t>
  </si>
  <si>
    <t xml:space="preserve">ZEE et profondeurs à recouper avec les sources officielles avant toute demande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</si>
</sst>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General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7" min="6" style="1" width="11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7"/>
    <col collapsed="false" customWidth="true" hidden="false" outlineLevel="0" max="13" min="12" style="1" width="8"/>
    <col collapsed="false" customWidth="true" hidden="false" outlineLevel="0" max="18" min="14" style="1" width="7"/>
    <col collapsed="false" customWidth="true" hidden="false" outlineLevel="0" max="19" min="19" style="1" width="9"/>
    <col collapsed="false" customWidth="true" hidden="false" outlineLevel="0" max="20" min="20" style="1" width="55"/>
  </cols>
  <sheetData>
    <row r="1" customFormat="false" ht="5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n">
        <v>1</v>
      </c>
      <c r="B2" s="3" t="s">
        <v>20</v>
      </c>
      <c r="C2" s="3" t="s">
        <v>21</v>
      </c>
      <c r="D2" s="3" t="s">
        <v>20</v>
      </c>
      <c r="E2" s="3" t="s">
        <v>22</v>
      </c>
      <c r="F2" s="4" t="n">
        <v>166.458</v>
      </c>
      <c r="G2" s="4" t="n">
        <v>-22.2758</v>
      </c>
      <c r="H2" s="3" t="s">
        <v>23</v>
      </c>
      <c r="I2" s="3" t="s">
        <v>24</v>
      </c>
      <c r="J2" s="3"/>
      <c r="K2" s="5"/>
      <c r="L2" s="5"/>
      <c r="M2" s="5"/>
      <c r="N2" s="5"/>
      <c r="O2" s="5"/>
      <c r="P2" s="5"/>
      <c r="Q2" s="5"/>
      <c r="R2" s="5"/>
      <c r="S2" s="5" t="n">
        <v>0</v>
      </c>
      <c r="T2" s="3" t="s">
        <v>25</v>
      </c>
    </row>
    <row r="3" customFormat="false" ht="15" hidden="false" customHeight="true" outlineLevel="0" collapsed="false">
      <c r="A3" s="6" t="n">
        <v>2</v>
      </c>
      <c r="B3" s="6" t="s">
        <v>26</v>
      </c>
      <c r="C3" s="6" t="s">
        <v>27</v>
      </c>
      <c r="D3" s="6" t="s">
        <v>28</v>
      </c>
      <c r="E3" s="6" t="s">
        <v>29</v>
      </c>
      <c r="F3" s="7" t="n">
        <v>165.84826</v>
      </c>
      <c r="G3" s="7" t="n">
        <v>-20.7407</v>
      </c>
      <c r="H3" s="6" t="s">
        <v>23</v>
      </c>
      <c r="I3" s="6" t="n">
        <v>2100</v>
      </c>
      <c r="J3" s="6" t="s">
        <v>30</v>
      </c>
      <c r="K3" s="8" t="n">
        <v>3</v>
      </c>
      <c r="L3" s="8" t="n">
        <v>2</v>
      </c>
      <c r="M3" s="8"/>
      <c r="N3" s="8"/>
      <c r="O3" s="8"/>
      <c r="P3" s="8"/>
      <c r="Q3" s="8" t="n">
        <v>5</v>
      </c>
      <c r="R3" s="8"/>
      <c r="S3" s="8" t="n">
        <f aca="false">SUM(K3:R3)</f>
        <v>10</v>
      </c>
      <c r="T3" s="6" t="s">
        <v>31</v>
      </c>
    </row>
    <row r="4" customFormat="false" ht="15" hidden="false" customHeight="true" outlineLevel="0" collapsed="false">
      <c r="A4" s="9" t="n">
        <v>3</v>
      </c>
      <c r="B4" s="9" t="s">
        <v>32</v>
      </c>
      <c r="C4" s="9" t="s">
        <v>33</v>
      </c>
      <c r="D4" s="9" t="s">
        <v>34</v>
      </c>
      <c r="E4" s="9" t="s">
        <v>35</v>
      </c>
      <c r="F4" s="10" t="n">
        <v>157</v>
      </c>
      <c r="G4" s="10" t="n">
        <v>-4</v>
      </c>
      <c r="H4" s="9" t="s">
        <v>36</v>
      </c>
      <c r="I4" s="9" t="n">
        <v>1600</v>
      </c>
      <c r="J4" s="9" t="n">
        <v>1</v>
      </c>
      <c r="K4" s="11" t="n">
        <v>6</v>
      </c>
      <c r="L4" s="11" t="n">
        <v>2</v>
      </c>
      <c r="M4" s="11" t="n">
        <v>3</v>
      </c>
      <c r="N4" s="11" t="n">
        <v>2</v>
      </c>
      <c r="O4" s="11" t="n">
        <v>1</v>
      </c>
      <c r="P4" s="11" t="n">
        <v>1</v>
      </c>
      <c r="Q4" s="11" t="n">
        <v>4</v>
      </c>
      <c r="R4" s="11" t="n">
        <v>2</v>
      </c>
      <c r="S4" s="11" t="n">
        <f aca="false">SUM(K4:R4)</f>
        <v>21</v>
      </c>
      <c r="T4" s="9" t="s">
        <v>37</v>
      </c>
    </row>
    <row r="5" customFormat="false" ht="15" hidden="false" customHeight="true" outlineLevel="0" collapsed="false">
      <c r="A5" s="9" t="n">
        <v>4</v>
      </c>
      <c r="B5" s="9" t="s">
        <v>32</v>
      </c>
      <c r="C5" s="9" t="s">
        <v>38</v>
      </c>
      <c r="D5" s="9" t="s">
        <v>39</v>
      </c>
      <c r="E5" s="9" t="s">
        <v>40</v>
      </c>
      <c r="F5" s="10" t="n">
        <v>156.998</v>
      </c>
      <c r="G5" s="10" t="n">
        <v>-2.225</v>
      </c>
      <c r="H5" s="9" t="s">
        <v>41</v>
      </c>
      <c r="I5" s="9" t="n">
        <v>1598</v>
      </c>
      <c r="J5" s="9" t="n">
        <v>1</v>
      </c>
      <c r="K5" s="11" t="n">
        <v>1</v>
      </c>
      <c r="L5" s="11" t="n">
        <v>2</v>
      </c>
      <c r="M5" s="11"/>
      <c r="N5" s="11" t="n">
        <v>2</v>
      </c>
      <c r="O5" s="11"/>
      <c r="P5" s="11"/>
      <c r="Q5" s="11"/>
      <c r="R5" s="11" t="n">
        <v>2</v>
      </c>
      <c r="S5" s="11" t="n">
        <f aca="false">SUM(K5:R5)</f>
        <v>7</v>
      </c>
      <c r="T5" s="9" t="s">
        <v>42</v>
      </c>
    </row>
    <row r="6" customFormat="false" ht="15" hidden="false" customHeight="true" outlineLevel="0" collapsed="false">
      <c r="A6" s="9" t="n">
        <v>5</v>
      </c>
      <c r="B6" s="9" t="s">
        <v>32</v>
      </c>
      <c r="C6" s="9" t="s">
        <v>43</v>
      </c>
      <c r="D6" s="9" t="s">
        <v>44</v>
      </c>
      <c r="E6" s="9" t="s">
        <v>40</v>
      </c>
      <c r="F6" s="10" t="n">
        <v>156.31</v>
      </c>
      <c r="G6" s="10" t="n">
        <v>1.402</v>
      </c>
      <c r="H6" s="9" t="s">
        <v>45</v>
      </c>
      <c r="I6" s="9" t="n">
        <v>2342</v>
      </c>
      <c r="J6" s="9" t="n">
        <v>2</v>
      </c>
      <c r="K6" s="11" t="n">
        <v>1</v>
      </c>
      <c r="L6" s="11" t="n">
        <v>2</v>
      </c>
      <c r="M6" s="11" t="n">
        <v>3</v>
      </c>
      <c r="N6" s="11" t="n">
        <v>2</v>
      </c>
      <c r="O6" s="11" t="n">
        <v>1</v>
      </c>
      <c r="P6" s="11"/>
      <c r="Q6" s="11"/>
      <c r="R6" s="11" t="n">
        <v>3</v>
      </c>
      <c r="S6" s="11" t="n">
        <f aca="false">SUM(K6:R6)</f>
        <v>12</v>
      </c>
      <c r="T6" s="9"/>
    </row>
    <row r="7" customFormat="false" ht="15" hidden="false" customHeight="true" outlineLevel="0" collapsed="false">
      <c r="A7" s="9" t="n">
        <v>6</v>
      </c>
      <c r="B7" s="9" t="s">
        <v>32</v>
      </c>
      <c r="C7" s="9" t="s">
        <v>46</v>
      </c>
      <c r="D7" s="9" t="s">
        <v>47</v>
      </c>
      <c r="E7" s="9" t="s">
        <v>40</v>
      </c>
      <c r="F7" s="10" t="n">
        <v>156.625</v>
      </c>
      <c r="G7" s="10" t="n">
        <v>3.607</v>
      </c>
      <c r="H7" s="9" t="s">
        <v>45</v>
      </c>
      <c r="I7" s="9" t="n">
        <v>2804</v>
      </c>
      <c r="J7" s="9" t="n">
        <v>1</v>
      </c>
      <c r="K7" s="11" t="n">
        <v>1</v>
      </c>
      <c r="L7" s="11" t="n">
        <v>2</v>
      </c>
      <c r="M7" s="11"/>
      <c r="N7" s="11" t="n">
        <v>2</v>
      </c>
      <c r="O7" s="11" t="n">
        <v>1</v>
      </c>
      <c r="P7" s="11" t="n">
        <v>1</v>
      </c>
      <c r="Q7" s="11" t="n">
        <v>5</v>
      </c>
      <c r="R7" s="11" t="n">
        <v>3</v>
      </c>
      <c r="S7" s="11" t="n">
        <f aca="false">SUM(K7:R7)</f>
        <v>15</v>
      </c>
      <c r="T7" s="9" t="s">
        <v>48</v>
      </c>
    </row>
    <row r="8" customFormat="false" ht="15" hidden="false" customHeight="true" outlineLevel="0" collapsed="false">
      <c r="A8" s="9" t="n">
        <v>7</v>
      </c>
      <c r="B8" s="9" t="s">
        <v>32</v>
      </c>
      <c r="C8" s="9" t="s">
        <v>49</v>
      </c>
      <c r="D8" s="9" t="s">
        <v>50</v>
      </c>
      <c r="E8" s="9" t="s">
        <v>51</v>
      </c>
      <c r="F8" s="10" t="n">
        <v>158.693</v>
      </c>
      <c r="G8" s="10" t="n">
        <v>-0.025</v>
      </c>
      <c r="H8" s="9" t="s">
        <v>41</v>
      </c>
      <c r="I8" s="9" t="n">
        <v>2247</v>
      </c>
      <c r="J8" s="9" t="n">
        <v>1</v>
      </c>
      <c r="K8" s="11" t="n">
        <v>1</v>
      </c>
      <c r="L8" s="11" t="n">
        <v>2</v>
      </c>
      <c r="M8" s="11"/>
      <c r="N8" s="11" t="n">
        <v>2</v>
      </c>
      <c r="O8" s="11" t="n">
        <v>1</v>
      </c>
      <c r="P8" s="11" t="n">
        <v>1</v>
      </c>
      <c r="Q8" s="11" t="n">
        <v>5</v>
      </c>
      <c r="R8" s="11" t="n">
        <v>3</v>
      </c>
      <c r="S8" s="11" t="n">
        <f aca="false">SUM(K8:R8)</f>
        <v>15</v>
      </c>
      <c r="T8" s="9"/>
    </row>
    <row r="9" customFormat="false" ht="15" hidden="false" customHeight="true" outlineLevel="0" collapsed="false">
      <c r="A9" s="9" t="n">
        <v>8</v>
      </c>
      <c r="B9" s="9" t="s">
        <v>32</v>
      </c>
      <c r="C9" s="9" t="s">
        <v>52</v>
      </c>
      <c r="D9" s="9" t="s">
        <v>53</v>
      </c>
      <c r="E9" s="9" t="s">
        <v>51</v>
      </c>
      <c r="F9" s="10" t="n">
        <v>159.369</v>
      </c>
      <c r="G9" s="10" t="n">
        <v>0.32</v>
      </c>
      <c r="H9" s="9" t="s">
        <v>45</v>
      </c>
      <c r="I9" s="9" t="n">
        <v>2521</v>
      </c>
      <c r="J9" s="9" t="n">
        <v>1</v>
      </c>
      <c r="K9" s="11" t="n">
        <v>1</v>
      </c>
      <c r="L9" s="11" t="n">
        <v>2</v>
      </c>
      <c r="M9" s="11"/>
      <c r="N9" s="11" t="n">
        <v>2</v>
      </c>
      <c r="O9" s="11" t="n">
        <v>1</v>
      </c>
      <c r="P9" s="11" t="n">
        <v>1</v>
      </c>
      <c r="Q9" s="11" t="n">
        <v>5</v>
      </c>
      <c r="R9" s="11" t="n">
        <v>3</v>
      </c>
      <c r="S9" s="11" t="n">
        <f aca="false">SUM(K9:R9)</f>
        <v>15</v>
      </c>
      <c r="T9" s="9" t="s">
        <v>54</v>
      </c>
    </row>
    <row r="10" customFormat="false" ht="15" hidden="false" customHeight="true" outlineLevel="0" collapsed="false">
      <c r="A10" s="9" t="n">
        <v>9</v>
      </c>
      <c r="B10" s="9" t="s">
        <v>32</v>
      </c>
      <c r="C10" s="9" t="s">
        <v>55</v>
      </c>
      <c r="D10" s="9" t="s">
        <v>56</v>
      </c>
      <c r="E10" s="9" t="s">
        <v>57</v>
      </c>
      <c r="F10" s="10" t="n">
        <v>160.415</v>
      </c>
      <c r="G10" s="10" t="n">
        <v>-0.022</v>
      </c>
      <c r="H10" s="9" t="s">
        <v>45</v>
      </c>
      <c r="I10" s="9" t="n">
        <v>2948</v>
      </c>
      <c r="J10" s="9" t="n">
        <v>2</v>
      </c>
      <c r="K10" s="11" t="n">
        <v>1</v>
      </c>
      <c r="L10" s="11" t="n">
        <v>2</v>
      </c>
      <c r="M10" s="11" t="n">
        <v>3</v>
      </c>
      <c r="N10" s="11"/>
      <c r="O10" s="11" t="n">
        <v>1</v>
      </c>
      <c r="P10" s="11"/>
      <c r="Q10" s="11"/>
      <c r="R10" s="11" t="n">
        <v>3</v>
      </c>
      <c r="S10" s="11" t="n">
        <f aca="false">SUM(K10:R10)</f>
        <v>10</v>
      </c>
      <c r="T10" s="9"/>
    </row>
    <row r="11" customFormat="false" ht="15" hidden="false" customHeight="true" outlineLevel="0" collapsed="false">
      <c r="A11" s="9" t="n">
        <v>10</v>
      </c>
      <c r="B11" s="9" t="s">
        <v>32</v>
      </c>
      <c r="C11" s="9" t="s">
        <v>58</v>
      </c>
      <c r="D11" s="9" t="s">
        <v>59</v>
      </c>
      <c r="E11" s="9" t="s">
        <v>57</v>
      </c>
      <c r="F11" s="10" t="n">
        <v>160.427</v>
      </c>
      <c r="G11" s="10" t="n">
        <v>-0.005</v>
      </c>
      <c r="H11" s="9" t="s">
        <v>45</v>
      </c>
      <c r="I11" s="9" t="n">
        <v>3732</v>
      </c>
      <c r="J11" s="9" t="n">
        <v>1</v>
      </c>
      <c r="K11" s="11" t="n">
        <v>1</v>
      </c>
      <c r="L11" s="11" t="n">
        <v>2</v>
      </c>
      <c r="M11" s="11"/>
      <c r="N11" s="11"/>
      <c r="O11" s="11" t="n">
        <v>1</v>
      </c>
      <c r="P11" s="11" t="n">
        <v>1</v>
      </c>
      <c r="Q11" s="11" t="n">
        <v>6</v>
      </c>
      <c r="R11" s="11" t="n">
        <v>4</v>
      </c>
      <c r="S11" s="11" t="n">
        <f aca="false">SUM(K11:R11)</f>
        <v>15</v>
      </c>
      <c r="T11" s="9" t="s">
        <v>60</v>
      </c>
    </row>
    <row r="12" customFormat="false" ht="15" hidden="false" customHeight="true" outlineLevel="0" collapsed="false">
      <c r="A12" s="9" t="n">
        <v>11</v>
      </c>
      <c r="B12" s="9" t="s">
        <v>32</v>
      </c>
      <c r="C12" s="9" t="s">
        <v>61</v>
      </c>
      <c r="D12" s="9" t="s">
        <v>62</v>
      </c>
      <c r="E12" s="9" t="s">
        <v>57</v>
      </c>
      <c r="F12" s="10" t="n">
        <v>160.998</v>
      </c>
      <c r="G12" s="10" t="n">
        <v>-0.003</v>
      </c>
      <c r="H12" s="9" t="s">
        <v>45</v>
      </c>
      <c r="I12" s="9" t="n">
        <v>3368</v>
      </c>
      <c r="J12" s="9" t="n">
        <v>2</v>
      </c>
      <c r="K12" s="11" t="n">
        <v>1</v>
      </c>
      <c r="L12" s="11" t="n">
        <v>2</v>
      </c>
      <c r="M12" s="11"/>
      <c r="N12" s="11"/>
      <c r="O12" s="11"/>
      <c r="P12" s="11"/>
      <c r="Q12" s="11"/>
      <c r="R12" s="11" t="n">
        <v>3</v>
      </c>
      <c r="S12" s="11" t="n">
        <f aca="false">SUM(K12:R12)</f>
        <v>6</v>
      </c>
      <c r="T12" s="9"/>
    </row>
    <row r="13" customFormat="false" ht="15" hidden="false" customHeight="true" outlineLevel="0" collapsed="false">
      <c r="A13" s="9" t="n">
        <v>12</v>
      </c>
      <c r="B13" s="9" t="s">
        <v>63</v>
      </c>
      <c r="C13" s="9" t="s">
        <v>64</v>
      </c>
      <c r="D13" s="9" t="s">
        <v>65</v>
      </c>
      <c r="E13" s="9" t="s">
        <v>40</v>
      </c>
      <c r="F13" s="10" t="n">
        <v>172</v>
      </c>
      <c r="G13" s="10" t="n">
        <v>-0.867</v>
      </c>
      <c r="H13" s="9" t="s">
        <v>66</v>
      </c>
      <c r="I13" s="9" t="n">
        <v>4252</v>
      </c>
      <c r="J13" s="9" t="n">
        <v>1</v>
      </c>
      <c r="K13" s="11" t="n">
        <v>3</v>
      </c>
      <c r="L13" s="11" t="n">
        <v>2</v>
      </c>
      <c r="M13" s="11" t="n">
        <v>3</v>
      </c>
      <c r="N13" s="11" t="n">
        <v>2</v>
      </c>
      <c r="O13" s="11"/>
      <c r="P13" s="11" t="n">
        <v>1</v>
      </c>
      <c r="Q13" s="11" t="n">
        <v>6</v>
      </c>
      <c r="R13" s="11" t="n">
        <v>4</v>
      </c>
      <c r="S13" s="11" t="n">
        <f aca="false">SUM(K13:R13)</f>
        <v>21</v>
      </c>
      <c r="T13" s="9"/>
    </row>
    <row r="14" customFormat="false" ht="15" hidden="false" customHeight="true" outlineLevel="0" collapsed="false">
      <c r="A14" s="9" t="n">
        <v>13</v>
      </c>
      <c r="B14" s="9" t="s">
        <v>63</v>
      </c>
      <c r="C14" s="9" t="s">
        <v>67</v>
      </c>
      <c r="D14" s="9" t="s">
        <v>68</v>
      </c>
      <c r="E14" s="9" t="s">
        <v>40</v>
      </c>
      <c r="F14" s="10" t="n">
        <v>174.467</v>
      </c>
      <c r="G14" s="10" t="n">
        <v>-8.333</v>
      </c>
      <c r="H14" s="9" t="s">
        <v>69</v>
      </c>
      <c r="I14" s="9" t="n">
        <v>5298</v>
      </c>
      <c r="J14" s="9" t="n">
        <v>1</v>
      </c>
      <c r="K14" s="11" t="n">
        <v>3</v>
      </c>
      <c r="L14" s="11" t="n">
        <v>2</v>
      </c>
      <c r="M14" s="11" t="n">
        <v>3</v>
      </c>
      <c r="N14" s="11" t="n">
        <v>2</v>
      </c>
      <c r="O14" s="11" t="n">
        <v>1</v>
      </c>
      <c r="P14" s="11" t="n">
        <v>1</v>
      </c>
      <c r="Q14" s="11" t="n">
        <v>6</v>
      </c>
      <c r="R14" s="11" t="n">
        <v>4</v>
      </c>
      <c r="S14" s="11" t="n">
        <f aca="false">SUM(K14:R14)</f>
        <v>22</v>
      </c>
      <c r="T14" s="9"/>
    </row>
    <row r="15" customFormat="false" ht="15" hidden="false" customHeight="true" outlineLevel="0" collapsed="false">
      <c r="A15" s="6" t="n">
        <v>14</v>
      </c>
      <c r="B15" s="6" t="s">
        <v>63</v>
      </c>
      <c r="C15" s="6" t="s">
        <v>70</v>
      </c>
      <c r="D15" s="6" t="s">
        <v>71</v>
      </c>
      <c r="E15" s="6" t="s">
        <v>72</v>
      </c>
      <c r="F15" s="7" t="n">
        <v>179</v>
      </c>
      <c r="G15" s="7" t="n">
        <v>-10.5</v>
      </c>
      <c r="H15" s="6" t="s">
        <v>73</v>
      </c>
      <c r="I15" s="6" t="n">
        <v>5000</v>
      </c>
      <c r="J15" s="6" t="s">
        <v>74</v>
      </c>
      <c r="K15" s="8" t="n">
        <v>3</v>
      </c>
      <c r="L15" s="8" t="n">
        <v>2</v>
      </c>
      <c r="M15" s="8" t="n">
        <v>3</v>
      </c>
      <c r="N15" s="8" t="n">
        <v>2</v>
      </c>
      <c r="O15" s="8" t="n">
        <v>1</v>
      </c>
      <c r="P15" s="8" t="n">
        <v>1</v>
      </c>
      <c r="Q15" s="8" t="n">
        <v>6</v>
      </c>
      <c r="R15" s="8" t="n">
        <v>4</v>
      </c>
      <c r="S15" s="8" t="n">
        <f aca="false">SUM(K15:R15)</f>
        <v>22</v>
      </c>
      <c r="T15" s="6" t="s">
        <v>75</v>
      </c>
    </row>
    <row r="16" customFormat="false" ht="15" hidden="false" customHeight="true" outlineLevel="0" collapsed="false">
      <c r="A16" s="3" t="n">
        <v>15</v>
      </c>
      <c r="B16" s="3" t="s">
        <v>76</v>
      </c>
      <c r="C16" s="3" t="s">
        <v>76</v>
      </c>
      <c r="D16" s="3" t="s">
        <v>76</v>
      </c>
      <c r="E16" s="3" t="s">
        <v>22</v>
      </c>
      <c r="F16" s="4" t="n">
        <v>-171.783</v>
      </c>
      <c r="G16" s="4" t="n">
        <v>-13.833</v>
      </c>
      <c r="H16" s="3" t="s">
        <v>77</v>
      </c>
      <c r="I16" s="3"/>
      <c r="J16" s="3"/>
      <c r="K16" s="5"/>
      <c r="L16" s="5"/>
      <c r="M16" s="5"/>
      <c r="N16" s="5"/>
      <c r="O16" s="5"/>
      <c r="P16" s="5"/>
      <c r="Q16" s="5"/>
      <c r="R16" s="5"/>
      <c r="S16" s="5" t="n">
        <v>0</v>
      </c>
      <c r="T16" s="3" t="s">
        <v>78</v>
      </c>
    </row>
    <row r="17" customFormat="false" ht="15" hidden="false" customHeight="true" outlineLevel="0" collapsed="false">
      <c r="J17" s="12" t="s">
        <v>79</v>
      </c>
      <c r="S17" s="13" t="n">
        <f aca="false">SUM(S2:S16)</f>
        <v>191</v>
      </c>
    </row>
    <row r="19" customFormat="false" ht="15" hidden="false" customHeight="true" outlineLevel="0" collapsed="false">
      <c r="B19" s="14" t="s">
        <v>80</v>
      </c>
    </row>
    <row r="20" customFormat="false" ht="15" hidden="false" customHeight="true" outlineLevel="0" collapsed="false">
      <c r="B20" s="15" t="s">
        <v>81</v>
      </c>
      <c r="D20" s="15" t="n">
        <v>409.8</v>
      </c>
      <c r="E20" s="16" t="s">
        <v>82</v>
      </c>
    </row>
    <row r="21" customFormat="false" ht="15" hidden="false" customHeight="true" outlineLevel="0" collapsed="false">
      <c r="B21" s="15" t="s">
        <v>83</v>
      </c>
      <c r="D21" s="15" t="n">
        <f aca="false">S17</f>
        <v>191</v>
      </c>
    </row>
    <row r="22" customFormat="false" ht="15" hidden="false" customHeight="true" outlineLevel="0" collapsed="false">
      <c r="B22" s="12" t="s">
        <v>84</v>
      </c>
      <c r="D22" s="17" t="n">
        <f aca="false">(D20+D21)/24</f>
        <v>25.0333333333333</v>
      </c>
    </row>
    <row r="23" customFormat="false" ht="15" hidden="false" customHeight="true" outlineLevel="0" collapsed="false">
      <c r="B23" s="15" t="s">
        <v>85</v>
      </c>
      <c r="D23" s="15" t="n">
        <v>26</v>
      </c>
    </row>
    <row r="24" customFormat="false" ht="15" hidden="false" customHeight="true" outlineLevel="0" collapsed="false">
      <c r="B24" s="12" t="s">
        <v>86</v>
      </c>
      <c r="D24" s="17" t="n">
        <f aca="false">26-D22</f>
        <v>0.966666666666669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7" min="6" style="1" width="11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7"/>
    <col collapsed="false" customWidth="true" hidden="false" outlineLevel="0" max="13" min="12" style="1" width="8"/>
    <col collapsed="false" customWidth="true" hidden="false" outlineLevel="0" max="18" min="14" style="1" width="7"/>
    <col collapsed="false" customWidth="true" hidden="false" outlineLevel="0" max="19" min="19" style="1" width="9"/>
    <col collapsed="false" customWidth="true" hidden="false" outlineLevel="0" max="20" min="20" style="1" width="55"/>
  </cols>
  <sheetData>
    <row r="1" customFormat="false" ht="5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n">
        <v>1</v>
      </c>
      <c r="B2" s="3" t="s">
        <v>76</v>
      </c>
      <c r="C2" s="3" t="s">
        <v>76</v>
      </c>
      <c r="D2" s="3" t="s">
        <v>76</v>
      </c>
      <c r="E2" s="3" t="s">
        <v>22</v>
      </c>
      <c r="F2" s="4" t="n">
        <v>-171.783</v>
      </c>
      <c r="G2" s="4" t="n">
        <v>-13.833</v>
      </c>
      <c r="H2" s="3" t="s">
        <v>77</v>
      </c>
      <c r="I2" s="3"/>
      <c r="J2" s="3"/>
      <c r="K2" s="5"/>
      <c r="L2" s="5"/>
      <c r="M2" s="5"/>
      <c r="N2" s="5"/>
      <c r="O2" s="5"/>
      <c r="P2" s="5"/>
      <c r="Q2" s="5"/>
      <c r="R2" s="5"/>
      <c r="S2" s="5" t="n">
        <v>0</v>
      </c>
      <c r="T2" s="3" t="s">
        <v>87</v>
      </c>
    </row>
    <row r="3" customFormat="false" ht="15" hidden="false" customHeight="true" outlineLevel="0" collapsed="false">
      <c r="A3" s="9" t="n">
        <v>2</v>
      </c>
      <c r="B3" s="9" t="s">
        <v>88</v>
      </c>
      <c r="C3" s="9" t="s">
        <v>89</v>
      </c>
      <c r="D3" s="9" t="s">
        <v>90</v>
      </c>
      <c r="E3" s="9" t="s">
        <v>91</v>
      </c>
      <c r="F3" s="10" t="n">
        <v>-168</v>
      </c>
      <c r="G3" s="10" t="n">
        <v>-12.5</v>
      </c>
      <c r="H3" s="9" t="s">
        <v>92</v>
      </c>
      <c r="I3" s="9" t="n">
        <v>4500</v>
      </c>
      <c r="J3" s="9" t="n">
        <v>1</v>
      </c>
      <c r="K3" s="11" t="n">
        <v>1</v>
      </c>
      <c r="L3" s="11" t="n">
        <v>2</v>
      </c>
      <c r="M3" s="11" t="n">
        <v>3</v>
      </c>
      <c r="N3" s="11" t="n">
        <v>2</v>
      </c>
      <c r="O3" s="11" t="n">
        <v>1</v>
      </c>
      <c r="P3" s="11" t="n">
        <v>1</v>
      </c>
      <c r="Q3" s="11"/>
      <c r="R3" s="11" t="n">
        <v>4</v>
      </c>
      <c r="S3" s="11" t="n">
        <f aca="false">SUM(K3:R3)</f>
        <v>14</v>
      </c>
      <c r="T3" s="9" t="s">
        <v>93</v>
      </c>
    </row>
    <row r="4" customFormat="false" ht="15" hidden="false" customHeight="true" outlineLevel="0" collapsed="false">
      <c r="A4" s="9" t="n">
        <v>3</v>
      </c>
      <c r="B4" s="9" t="s">
        <v>94</v>
      </c>
      <c r="C4" s="9" t="s">
        <v>95</v>
      </c>
      <c r="D4" s="9" t="s">
        <v>96</v>
      </c>
      <c r="E4" s="9" t="s">
        <v>57</v>
      </c>
      <c r="F4" s="10" t="n">
        <v>-162.88845</v>
      </c>
      <c r="G4" s="10" t="n">
        <v>-11.16221</v>
      </c>
      <c r="H4" s="9" t="s">
        <v>97</v>
      </c>
      <c r="I4" s="9" t="n">
        <v>2800</v>
      </c>
      <c r="J4" s="9" t="n">
        <v>1</v>
      </c>
      <c r="K4" s="11" t="n">
        <v>1</v>
      </c>
      <c r="L4" s="11" t="n">
        <v>2</v>
      </c>
      <c r="M4" s="11"/>
      <c r="N4" s="11"/>
      <c r="O4" s="11"/>
      <c r="P4" s="11"/>
      <c r="Q4" s="11" t="n">
        <v>5</v>
      </c>
      <c r="R4" s="11" t="n">
        <v>3</v>
      </c>
      <c r="S4" s="11" t="n">
        <f aca="false">SUM(K4:R4)</f>
        <v>11</v>
      </c>
      <c r="T4" s="9" t="s">
        <v>98</v>
      </c>
    </row>
    <row r="5" customFormat="false" ht="15" hidden="false" customHeight="true" outlineLevel="0" collapsed="false">
      <c r="A5" s="9" t="n">
        <v>4</v>
      </c>
      <c r="B5" s="9" t="s">
        <v>94</v>
      </c>
      <c r="C5" s="9" t="s">
        <v>99</v>
      </c>
      <c r="D5" s="9" t="s">
        <v>100</v>
      </c>
      <c r="E5" s="9" t="s">
        <v>57</v>
      </c>
      <c r="F5" s="10" t="n">
        <v>-161.532</v>
      </c>
      <c r="G5" s="10" t="n">
        <v>-11.051</v>
      </c>
      <c r="H5" s="9" t="s">
        <v>97</v>
      </c>
      <c r="I5" s="9" t="n">
        <v>3011</v>
      </c>
      <c r="J5" s="9" t="n">
        <v>1</v>
      </c>
      <c r="K5" s="11"/>
      <c r="L5" s="11" t="n">
        <v>2</v>
      </c>
      <c r="M5" s="11"/>
      <c r="N5" s="11" t="n">
        <v>2</v>
      </c>
      <c r="O5" s="11" t="n">
        <v>1</v>
      </c>
      <c r="P5" s="11" t="n">
        <v>1</v>
      </c>
      <c r="Q5" s="11" t="n">
        <v>5</v>
      </c>
      <c r="R5" s="11" t="n">
        <v>3</v>
      </c>
      <c r="S5" s="11" t="n">
        <f aca="false">SUM(K5:R5)</f>
        <v>14</v>
      </c>
      <c r="T5" s="9" t="s">
        <v>101</v>
      </c>
    </row>
    <row r="6" customFormat="false" ht="15" hidden="false" customHeight="true" outlineLevel="0" collapsed="false">
      <c r="A6" s="9" t="n">
        <v>5</v>
      </c>
      <c r="B6" s="9" t="s">
        <v>94</v>
      </c>
      <c r="C6" s="9" t="s">
        <v>102</v>
      </c>
      <c r="D6" s="9" t="s">
        <v>103</v>
      </c>
      <c r="E6" s="9" t="s">
        <v>57</v>
      </c>
      <c r="F6" s="10" t="n">
        <v>-165.053</v>
      </c>
      <c r="G6" s="10" t="n">
        <v>-7.199</v>
      </c>
      <c r="H6" s="9" t="s">
        <v>104</v>
      </c>
      <c r="I6" s="9" t="n">
        <v>3589</v>
      </c>
      <c r="J6" s="9" t="n">
        <v>1</v>
      </c>
      <c r="K6" s="11" t="n">
        <v>3</v>
      </c>
      <c r="L6" s="11" t="n">
        <v>2</v>
      </c>
      <c r="M6" s="11"/>
      <c r="N6" s="11"/>
      <c r="O6" s="11"/>
      <c r="P6" s="11"/>
      <c r="Q6" s="11"/>
      <c r="R6" s="11" t="n">
        <v>3</v>
      </c>
      <c r="S6" s="11" t="n">
        <f aca="false">SUM(K6:R6)</f>
        <v>8</v>
      </c>
      <c r="T6" s="9"/>
    </row>
    <row r="7" customFormat="false" ht="15" hidden="false" customHeight="true" outlineLevel="0" collapsed="false">
      <c r="A7" s="9" t="n">
        <v>6</v>
      </c>
      <c r="B7" s="9" t="s">
        <v>94</v>
      </c>
      <c r="C7" s="9" t="s">
        <v>105</v>
      </c>
      <c r="D7" s="9" t="s">
        <v>106</v>
      </c>
      <c r="E7" s="9" t="s">
        <v>57</v>
      </c>
      <c r="F7" s="10" t="n">
        <v>-164.887</v>
      </c>
      <c r="G7" s="10" t="n">
        <v>-3.792</v>
      </c>
      <c r="H7" s="9" t="s">
        <v>104</v>
      </c>
      <c r="I7" s="9" t="n">
        <v>3558</v>
      </c>
      <c r="J7" s="9" t="n">
        <v>1</v>
      </c>
      <c r="K7" s="11" t="n">
        <v>3</v>
      </c>
      <c r="L7" s="11" t="n">
        <v>2</v>
      </c>
      <c r="M7" s="11" t="n">
        <v>3</v>
      </c>
      <c r="N7" s="11" t="n">
        <v>2</v>
      </c>
      <c r="O7" s="11" t="n">
        <v>1</v>
      </c>
      <c r="P7" s="11" t="n">
        <v>1</v>
      </c>
      <c r="Q7" s="11" t="n">
        <v>5</v>
      </c>
      <c r="R7" s="11" t="n">
        <v>3</v>
      </c>
      <c r="S7" s="11" t="n">
        <f aca="false">SUM(K7:R7)</f>
        <v>20</v>
      </c>
      <c r="T7" s="9"/>
    </row>
    <row r="8" customFormat="false" ht="15" hidden="false" customHeight="true" outlineLevel="0" collapsed="false">
      <c r="A8" s="9" t="n">
        <v>7</v>
      </c>
      <c r="B8" s="9" t="s">
        <v>107</v>
      </c>
      <c r="C8" s="9" t="s">
        <v>108</v>
      </c>
      <c r="D8" s="9" t="s">
        <v>109</v>
      </c>
      <c r="E8" s="9" t="s">
        <v>40</v>
      </c>
      <c r="F8" s="10" t="n">
        <v>-161.63</v>
      </c>
      <c r="G8" s="10" t="n">
        <v>7.04</v>
      </c>
      <c r="H8" s="9" t="s">
        <v>110</v>
      </c>
      <c r="I8" s="9" t="n">
        <v>2798</v>
      </c>
      <c r="J8" s="9" t="n">
        <v>2</v>
      </c>
      <c r="K8" s="11" t="n">
        <v>6</v>
      </c>
      <c r="L8" s="11" t="n">
        <v>3</v>
      </c>
      <c r="M8" s="11" t="n">
        <v>1</v>
      </c>
      <c r="N8" s="11" t="n">
        <v>2</v>
      </c>
      <c r="O8" s="11" t="n">
        <v>1</v>
      </c>
      <c r="P8" s="11" t="n">
        <v>1</v>
      </c>
      <c r="Q8" s="11" t="n">
        <v>5</v>
      </c>
      <c r="R8" s="11" t="n">
        <v>3</v>
      </c>
      <c r="S8" s="11" t="n">
        <f aca="false">SUM(K8:R8)</f>
        <v>22</v>
      </c>
      <c r="T8" s="9" t="s">
        <v>111</v>
      </c>
    </row>
    <row r="9" customFormat="false" ht="15" hidden="false" customHeight="true" outlineLevel="0" collapsed="false">
      <c r="A9" s="9" t="n">
        <v>8</v>
      </c>
      <c r="B9" s="9" t="s">
        <v>107</v>
      </c>
      <c r="C9" s="9" t="s">
        <v>112</v>
      </c>
      <c r="D9" s="9" t="s">
        <v>113</v>
      </c>
      <c r="E9" s="9" t="s">
        <v>40</v>
      </c>
      <c r="F9" s="10" t="n">
        <v>-156.45</v>
      </c>
      <c r="G9" s="10" t="n">
        <v>0.48</v>
      </c>
      <c r="H9" s="9" t="s">
        <v>104</v>
      </c>
      <c r="I9" s="9" t="n">
        <v>2926</v>
      </c>
      <c r="J9" s="9" t="n">
        <v>2</v>
      </c>
      <c r="K9" s="11" t="n">
        <v>3</v>
      </c>
      <c r="L9" s="11" t="n">
        <v>3</v>
      </c>
      <c r="M9" s="11" t="n">
        <v>3</v>
      </c>
      <c r="N9" s="11" t="n">
        <v>2</v>
      </c>
      <c r="O9" s="11" t="n">
        <v>1</v>
      </c>
      <c r="P9" s="11" t="n">
        <v>1</v>
      </c>
      <c r="Q9" s="11" t="n">
        <v>5</v>
      </c>
      <c r="R9" s="11" t="n">
        <v>3</v>
      </c>
      <c r="S9" s="11" t="n">
        <f aca="false">SUM(K9:R9)</f>
        <v>21</v>
      </c>
      <c r="T9" s="9"/>
    </row>
    <row r="10" customFormat="false" ht="15" hidden="false" customHeight="true" outlineLevel="0" collapsed="false">
      <c r="A10" s="9" t="n">
        <v>9</v>
      </c>
      <c r="B10" s="9" t="s">
        <v>114</v>
      </c>
      <c r="C10" s="9" t="s">
        <v>115</v>
      </c>
      <c r="D10" s="9" t="s">
        <v>116</v>
      </c>
      <c r="E10" s="9" t="s">
        <v>40</v>
      </c>
      <c r="F10" s="10" t="n">
        <v>-152.33889</v>
      </c>
      <c r="G10" s="10" t="n">
        <v>-3.64431</v>
      </c>
      <c r="H10" s="9" t="s">
        <v>117</v>
      </c>
      <c r="I10" s="9" t="n">
        <v>4500</v>
      </c>
      <c r="J10" s="9" t="n">
        <v>1</v>
      </c>
      <c r="K10" s="11" t="n">
        <v>3</v>
      </c>
      <c r="L10" s="11" t="n">
        <v>3</v>
      </c>
      <c r="M10" s="11" t="n">
        <v>1</v>
      </c>
      <c r="N10" s="11" t="n">
        <v>2</v>
      </c>
      <c r="O10" s="11" t="n">
        <v>1</v>
      </c>
      <c r="P10" s="11" t="n">
        <v>1</v>
      </c>
      <c r="Q10" s="11"/>
      <c r="R10" s="11" t="n">
        <v>4</v>
      </c>
      <c r="S10" s="11" t="n">
        <f aca="false">SUM(K10:R10)</f>
        <v>15</v>
      </c>
      <c r="T10" s="9"/>
    </row>
    <row r="11" customFormat="false" ht="15" hidden="false" customHeight="true" outlineLevel="0" collapsed="false">
      <c r="A11" s="9" t="n">
        <v>10</v>
      </c>
      <c r="B11" s="9" t="s">
        <v>118</v>
      </c>
      <c r="C11" s="9" t="s">
        <v>119</v>
      </c>
      <c r="D11" s="9" t="s">
        <v>118</v>
      </c>
      <c r="E11" s="9" t="s">
        <v>91</v>
      </c>
      <c r="F11" s="10" t="n">
        <v>-151</v>
      </c>
      <c r="G11" s="10" t="n">
        <v>-10</v>
      </c>
      <c r="H11" s="9" t="s">
        <v>117</v>
      </c>
      <c r="I11" s="9" t="n">
        <v>4500</v>
      </c>
      <c r="J11" s="9" t="n">
        <v>1</v>
      </c>
      <c r="K11" s="11" t="n">
        <v>1</v>
      </c>
      <c r="L11" s="11" t="n">
        <v>2</v>
      </c>
      <c r="M11" s="11" t="n">
        <v>3</v>
      </c>
      <c r="N11" s="11" t="n">
        <v>2</v>
      </c>
      <c r="O11" s="11" t="n">
        <v>1</v>
      </c>
      <c r="P11" s="11" t="n">
        <v>1</v>
      </c>
      <c r="Q11" s="11"/>
      <c r="R11" s="11" t="n">
        <v>4</v>
      </c>
      <c r="S11" s="11" t="n">
        <f aca="false">SUM(K11:R11)</f>
        <v>14</v>
      </c>
      <c r="T11" s="9"/>
    </row>
    <row r="12" customFormat="false" ht="15" hidden="false" customHeight="true" outlineLevel="0" collapsed="false">
      <c r="A12" s="6" t="n">
        <v>11</v>
      </c>
      <c r="B12" s="6" t="s">
        <v>120</v>
      </c>
      <c r="C12" s="6" t="s">
        <v>121</v>
      </c>
      <c r="D12" s="6" t="s">
        <v>122</v>
      </c>
      <c r="E12" s="6" t="s">
        <v>123</v>
      </c>
      <c r="F12" s="7" t="n">
        <v>-151.397</v>
      </c>
      <c r="G12" s="7" t="n">
        <v>-16.82</v>
      </c>
      <c r="H12" s="6" t="s">
        <v>124</v>
      </c>
      <c r="I12" s="6" t="n">
        <v>50</v>
      </c>
      <c r="J12" s="6" t="n">
        <v>1</v>
      </c>
      <c r="K12" s="8"/>
      <c r="L12" s="8"/>
      <c r="M12" s="8"/>
      <c r="N12" s="8"/>
      <c r="O12" s="8"/>
      <c r="P12" s="8"/>
      <c r="Q12" s="8" t="n">
        <v>4</v>
      </c>
      <c r="R12" s="8"/>
      <c r="S12" s="8" t="n">
        <f aca="false">SUM(K12:R12)</f>
        <v>4</v>
      </c>
      <c r="T12" s="6" t="s">
        <v>125</v>
      </c>
    </row>
    <row r="13" customFormat="false" ht="15" hidden="false" customHeight="true" outlineLevel="0" collapsed="false">
      <c r="A13" s="3" t="n">
        <v>12</v>
      </c>
      <c r="B13" s="3" t="s">
        <v>126</v>
      </c>
      <c r="C13" s="3" t="s">
        <v>127</v>
      </c>
      <c r="D13" s="3" t="s">
        <v>126</v>
      </c>
      <c r="E13" s="3" t="s">
        <v>22</v>
      </c>
      <c r="F13" s="4" t="n">
        <v>-149.5705</v>
      </c>
      <c r="G13" s="4" t="n">
        <v>-17.5353</v>
      </c>
      <c r="H13" s="3" t="s">
        <v>117</v>
      </c>
      <c r="I13" s="3"/>
      <c r="J13" s="3"/>
      <c r="K13" s="5"/>
      <c r="L13" s="5"/>
      <c r="M13" s="5"/>
      <c r="N13" s="5"/>
      <c r="O13" s="5"/>
      <c r="P13" s="5"/>
      <c r="Q13" s="5"/>
      <c r="R13" s="5"/>
      <c r="S13" s="5" t="n">
        <v>0</v>
      </c>
      <c r="T13" s="3" t="s">
        <v>128</v>
      </c>
    </row>
    <row r="14" customFormat="false" ht="15" hidden="false" customHeight="true" outlineLevel="0" collapsed="false">
      <c r="J14" s="12" t="s">
        <v>79</v>
      </c>
      <c r="S14" s="13" t="n">
        <f aca="false">SUM(S2:S13)</f>
        <v>143</v>
      </c>
    </row>
    <row r="16" customFormat="false" ht="15" hidden="false" customHeight="true" outlineLevel="0" collapsed="false">
      <c r="B16" s="14" t="s">
        <v>80</v>
      </c>
    </row>
    <row r="17" customFormat="false" ht="15" hidden="false" customHeight="true" outlineLevel="0" collapsed="false">
      <c r="B17" s="15" t="s">
        <v>81</v>
      </c>
      <c r="D17" s="15" t="n">
        <v>358.6</v>
      </c>
      <c r="E17" s="16" t="s">
        <v>82</v>
      </c>
    </row>
    <row r="18" customFormat="false" ht="15" hidden="false" customHeight="true" outlineLevel="0" collapsed="false">
      <c r="B18" s="15" t="s">
        <v>83</v>
      </c>
      <c r="D18" s="15" t="n">
        <f aca="false">S14</f>
        <v>143</v>
      </c>
    </row>
    <row r="19" customFormat="false" ht="15" hidden="false" customHeight="true" outlineLevel="0" collapsed="false">
      <c r="B19" s="12" t="s">
        <v>84</v>
      </c>
      <c r="D19" s="17" t="n">
        <f aca="false">(D17+D18)/24</f>
        <v>20.9</v>
      </c>
    </row>
    <row r="20" customFormat="false" ht="15" hidden="false" customHeight="true" outlineLevel="0" collapsed="false">
      <c r="B20" s="15" t="s">
        <v>85</v>
      </c>
      <c r="D20" s="15" t="n">
        <v>23</v>
      </c>
    </row>
    <row r="21" customFormat="false" ht="15" hidden="false" customHeight="true" outlineLevel="0" collapsed="false">
      <c r="B21" s="12" t="s">
        <v>86</v>
      </c>
      <c r="D21" s="17" t="n">
        <f aca="false">23-D19</f>
        <v>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</cols>
  <sheetData>
    <row r="1" customFormat="false" ht="15" hidden="false" customHeight="true" outlineLevel="0" collapsed="false">
      <c r="A1" s="12" t="s">
        <v>129</v>
      </c>
      <c r="B1" s="15"/>
    </row>
    <row r="2" customFormat="false" ht="15" hidden="false" customHeight="true" outlineLevel="0" collapsed="false">
      <c r="A2" s="15"/>
      <c r="B2" s="15"/>
    </row>
    <row r="3" customFormat="false" ht="15" hidden="false" customHeight="true" outlineLevel="0" collapsed="false">
      <c r="A3" s="12" t="s">
        <v>130</v>
      </c>
      <c r="B3" s="15"/>
    </row>
    <row r="4" customFormat="false" ht="15" hidden="false" customHeight="true" outlineLevel="0" collapsed="false">
      <c r="A4" s="15" t="s">
        <v>131</v>
      </c>
      <c r="B4" s="15" t="s">
        <v>132</v>
      </c>
    </row>
    <row r="5" customFormat="false" ht="15" hidden="false" customHeight="true" outlineLevel="0" collapsed="false">
      <c r="A5" s="15" t="s">
        <v>133</v>
      </c>
      <c r="B5" s="15" t="s">
        <v>134</v>
      </c>
    </row>
    <row r="6" customFormat="false" ht="15" hidden="false" customHeight="true" outlineLevel="0" collapsed="false">
      <c r="A6" s="15" t="s">
        <v>135</v>
      </c>
      <c r="B6" s="15" t="s">
        <v>136</v>
      </c>
    </row>
    <row r="7" customFormat="false" ht="15" hidden="false" customHeight="true" outlineLevel="0" collapsed="false">
      <c r="A7" s="15" t="s">
        <v>137</v>
      </c>
      <c r="B7" s="15" t="s">
        <v>138</v>
      </c>
    </row>
    <row r="8" customFormat="false" ht="15" hidden="false" customHeight="true" outlineLevel="0" collapsed="false">
      <c r="A8" s="15" t="s">
        <v>139</v>
      </c>
      <c r="B8" s="15" t="s">
        <v>140</v>
      </c>
    </row>
    <row r="9" customFormat="false" ht="15" hidden="false" customHeight="true" outlineLevel="0" collapsed="false">
      <c r="A9" s="15" t="s">
        <v>141</v>
      </c>
      <c r="B9" s="15" t="s">
        <v>142</v>
      </c>
    </row>
    <row r="10" customFormat="false" ht="15" hidden="false" customHeight="true" outlineLevel="0" collapsed="false">
      <c r="A10" s="15" t="s">
        <v>143</v>
      </c>
      <c r="B10" s="15" t="s">
        <v>144</v>
      </c>
    </row>
    <row r="11" customFormat="false" ht="15" hidden="false" customHeight="true" outlineLevel="0" collapsed="false">
      <c r="A11" s="15" t="s">
        <v>145</v>
      </c>
      <c r="B11" s="15" t="s">
        <v>146</v>
      </c>
    </row>
    <row r="12" customFormat="false" ht="15" hidden="false" customHeight="true" outlineLevel="0" collapsed="false">
      <c r="A12" s="15"/>
      <c r="B12" s="15"/>
    </row>
    <row r="13" customFormat="false" ht="15" hidden="false" customHeight="true" outlineLevel="0" collapsed="false">
      <c r="A13" s="12" t="s">
        <v>147</v>
      </c>
      <c r="B13" s="15"/>
    </row>
    <row r="14" customFormat="false" ht="15" hidden="false" customHeight="true" outlineLevel="0" collapsed="false">
      <c r="A14" s="15" t="s">
        <v>148</v>
      </c>
      <c r="B14" s="15" t="s">
        <v>149</v>
      </c>
    </row>
    <row r="15" customFormat="false" ht="15" hidden="false" customHeight="true" outlineLevel="0" collapsed="false">
      <c r="A15" s="15" t="s">
        <v>150</v>
      </c>
      <c r="B15" s="15" t="s">
        <v>151</v>
      </c>
    </row>
    <row r="16" customFormat="false" ht="15" hidden="false" customHeight="true" outlineLevel="0" collapsed="false">
      <c r="A16" s="15" t="s">
        <v>152</v>
      </c>
      <c r="B16" s="15" t="s">
        <v>153</v>
      </c>
    </row>
    <row r="17" customFormat="false" ht="15" hidden="false" customHeight="true" outlineLevel="0" collapsed="false">
      <c r="A17" s="15"/>
      <c r="B17" s="15"/>
    </row>
    <row r="18" customFormat="false" ht="15" hidden="false" customHeight="true" outlineLevel="0" collapsed="false">
      <c r="A18" s="12" t="s">
        <v>154</v>
      </c>
      <c r="B18" s="15"/>
    </row>
    <row r="19" customFormat="false" ht="15" hidden="false" customHeight="true" outlineLevel="0" collapsed="false">
      <c r="A19" s="15" t="s">
        <v>155</v>
      </c>
      <c r="B19" s="15" t="s">
        <v>156</v>
      </c>
    </row>
    <row r="20" customFormat="false" ht="15" hidden="false" customHeight="true" outlineLevel="0" collapsed="false">
      <c r="A20" s="15" t="s">
        <v>157</v>
      </c>
      <c r="B20" s="15" t="s">
        <v>158</v>
      </c>
    </row>
    <row r="21" customFormat="false" ht="15" hidden="false" customHeight="true" outlineLevel="0" collapsed="false">
      <c r="A21" s="15" t="s">
        <v>159</v>
      </c>
      <c r="B21" s="15" t="s">
        <v>160</v>
      </c>
    </row>
    <row r="22" customFormat="false" ht="15" hidden="false" customHeight="true" outlineLevel="0" collapsed="false">
      <c r="A22" s="15"/>
      <c r="B22" s="15"/>
    </row>
    <row r="23" customFormat="false" ht="15" hidden="false" customHeight="true" outlineLevel="0" collapsed="false">
      <c r="A23" s="12" t="s">
        <v>161</v>
      </c>
      <c r="B23" s="15"/>
    </row>
    <row r="24" customFormat="false" ht="15" hidden="false" customHeight="true" outlineLevel="0" collapsed="false">
      <c r="A24" s="15" t="s">
        <v>162</v>
      </c>
      <c r="B24" s="15" t="s">
        <v>163</v>
      </c>
    </row>
    <row r="25" customFormat="false" ht="15" hidden="false" customHeight="true" outlineLevel="0" collapsed="false">
      <c r="A25" s="15" t="s">
        <v>164</v>
      </c>
      <c r="B25" s="15" t="s">
        <v>165</v>
      </c>
    </row>
    <row r="26" customFormat="false" ht="15" hidden="false" customHeight="true" outlineLevel="0" collapsed="false">
      <c r="A26" s="15" t="s">
        <v>166</v>
      </c>
      <c r="B26" s="15" t="s">
        <v>167</v>
      </c>
    </row>
    <row r="27" customFormat="false" ht="15" hidden="false" customHeight="true" outlineLevel="0" collapsed="false">
      <c r="A27" s="15" t="s">
        <v>168</v>
      </c>
      <c r="B27" s="15" t="s">
        <v>169</v>
      </c>
    </row>
    <row r="28" customFormat="false" ht="15" hidden="false" customHeight="true" outlineLevel="0" collapsed="false">
      <c r="A28" s="15" t="s">
        <v>170</v>
      </c>
      <c r="B28" s="15" t="s">
        <v>171</v>
      </c>
    </row>
    <row r="29" customFormat="false" ht="15" hidden="false" customHeight="true" outlineLevel="0" collapsed="false">
      <c r="A29" s="15" t="s">
        <v>172</v>
      </c>
      <c r="B29" s="15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2026-09-16T07:54:11Z</dcterms:created>
  <dc:creator>openpyxl</dc:creator>
  <dc:description/>
  <dc:language>en-US</dc:language>
  <cp:lastModifiedBy/>
  <dcterms:modified xsi:type="dcterms:W3CDTF">2026-09-17T14:44:11Z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